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88E2F4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9" fontId="1" fillId="0" borderId="0"/>
    <xf numFmtId="43" fontId="1" fillId="0" borderId="0"/>
  </cellStyleXfs>
  <cellXfs count="71">
    <xf numFmtId="0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9" fontId="0" fillId="0" borderId="0" pivotButton="0" quotePrefix="0" xfId="1"/>
    <xf numFmtId="0" fontId="2" fillId="0" borderId="0" applyAlignment="1" pivotButton="0" quotePrefix="0" xfId="0">
      <alignment horizontal="center"/>
    </xf>
    <xf numFmtId="0" fontId="0" fillId="0" borderId="5" pivotButton="0" quotePrefix="0" xfId="0"/>
    <xf numFmtId="0" fontId="0" fillId="0" borderId="10" pivotButton="0" quotePrefix="0" xfId="0"/>
    <xf numFmtId="14" fontId="0" fillId="0" borderId="5" pivotButton="0" quotePrefix="0" xfId="0"/>
    <xf numFmtId="9" fontId="0" fillId="0" borderId="5" pivotButton="0" quotePrefix="0" xfId="0"/>
    <xf numFmtId="0" fontId="0" fillId="0" borderId="5" applyAlignment="1" pivotButton="0" quotePrefix="0" xfId="0">
      <alignment horizontal="center"/>
    </xf>
    <xf numFmtId="0" fontId="0" fillId="0" borderId="16" pivotButton="0" quotePrefix="0" xfId="0"/>
    <xf numFmtId="49" fontId="0" fillId="0" borderId="5" applyAlignment="1" pivotButton="0" quotePrefix="0" xfId="0">
      <alignment horizontal="center"/>
    </xf>
    <xf numFmtId="0" fontId="0" fillId="2" borderId="5" pivotButton="0" quotePrefix="0" xfId="0"/>
    <xf numFmtId="0" fontId="0" fillId="2" borderId="9" pivotButton="0" quotePrefix="0" xfId="0"/>
    <xf numFmtId="0" fontId="3" fillId="0" borderId="0" pivotButton="0" quotePrefix="0" xfId="0"/>
    <xf numFmtId="2" fontId="0" fillId="0" borderId="5" applyAlignment="1" pivotButton="0" quotePrefix="0" xfId="0">
      <alignment horizontal="right"/>
    </xf>
    <xf numFmtId="164" fontId="0" fillId="0" borderId="5" pivotButton="0" quotePrefix="0" xfId="2"/>
    <xf numFmtId="164" fontId="0" fillId="2" borderId="5" pivotButton="0" quotePrefix="0" xfId="2"/>
    <xf numFmtId="164" fontId="0" fillId="2" borderId="9" pivotButton="0" quotePrefix="0" xfId="2"/>
    <xf numFmtId="164" fontId="0" fillId="2" borderId="18" pivotButton="0" quotePrefix="0" xfId="2"/>
    <xf numFmtId="0" fontId="2" fillId="2" borderId="14" applyAlignment="1" pivotButton="0" quotePrefix="0" xfId="0">
      <alignment horizontal="center" vertical="center" wrapText="1"/>
    </xf>
    <xf numFmtId="0" fontId="2" fillId="2" borderId="16" applyAlignment="1" pivotButton="0" quotePrefix="0" xfId="0">
      <alignment horizontal="center" vertical="center" wrapText="1"/>
    </xf>
    <xf numFmtId="0" fontId="2" fillId="2" borderId="6" pivotButton="0" quotePrefix="0" xfId="0"/>
    <xf numFmtId="0" fontId="2" fillId="2" borderId="7" pivotButton="0" quotePrefix="0" xfId="0"/>
    <xf numFmtId="0" fontId="2" fillId="2" borderId="8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/>
    </xf>
    <xf numFmtId="0" fontId="2" fillId="2" borderId="6" applyAlignment="1" pivotButton="0" quotePrefix="0" xfId="0">
      <alignment horizontal="left"/>
    </xf>
    <xf numFmtId="0" fontId="2" fillId="2" borderId="7" applyAlignment="1" pivotButton="0" quotePrefix="0" xfId="0">
      <alignment horizontal="left"/>
    </xf>
    <xf numFmtId="0" fontId="2" fillId="2" borderId="8" applyAlignment="1" pivotButton="0" quotePrefix="0" xfId="0">
      <alignment horizontal="left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2" fontId="2" fillId="2" borderId="14" applyAlignment="1" pivotButton="0" quotePrefix="0" xfId="0">
      <alignment horizontal="center" vertical="center"/>
    </xf>
    <xf numFmtId="2" fontId="2" fillId="2" borderId="16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0" fillId="0" borderId="10" pivotButton="0" quotePrefix="0" xfId="0"/>
    <xf numFmtId="0" fontId="2" fillId="0" borderId="0" applyAlignment="1" pivotButton="0" quotePrefix="0" xfId="0">
      <alignment horizontal="center"/>
    </xf>
    <xf numFmtId="0" fontId="2" fillId="2" borderId="1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2" borderId="20" applyAlignment="1" pivotButton="0" quotePrefix="0" xfId="0">
      <alignment horizontal="center"/>
    </xf>
    <xf numFmtId="14" fontId="0" fillId="0" borderId="10" applyAlignment="1" pivotButton="0" quotePrefix="0" xfId="0">
      <alignment horizontal="center"/>
    </xf>
    <xf numFmtId="0" fontId="2" fillId="2" borderId="20" pivotButton="0" quotePrefix="0" xfId="0"/>
    <xf numFmtId="0" fontId="2" fillId="2" borderId="20" applyAlignment="1" pivotButton="0" quotePrefix="0" xfId="0">
      <alignment horizontal="left"/>
    </xf>
    <xf numFmtId="0" fontId="0" fillId="0" borderId="28" pivotButton="0" quotePrefix="0" xfId="0"/>
    <xf numFmtId="0" fontId="0" fillId="0" borderId="30" pivotButton="0" quotePrefix="0" xfId="0"/>
    <xf numFmtId="164" fontId="0" fillId="0" borderId="5" pivotButton="0" quotePrefix="0" xfId="2"/>
    <xf numFmtId="164" fontId="0" fillId="2" borderId="5" pivotButton="0" quotePrefix="0" xfId="2"/>
    <xf numFmtId="164" fontId="0" fillId="2" borderId="9" pivotButton="0" quotePrefix="0" xfId="2"/>
    <xf numFmtId="0" fontId="0" fillId="0" borderId="11" pivotButton="0" quotePrefix="0" xfId="0"/>
    <xf numFmtId="164" fontId="0" fillId="2" borderId="18" pivotButton="0" quotePrefix="0" xfId="2"/>
  </cellXfs>
  <cellStyles count="3">
    <cellStyle name="Normal" xfId="0" builtinId="0"/>
    <cellStyle name="Porcentaje" xfId="1" builtinId="5"/>
    <cellStyle name="Millares" xfId="2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tabSelected="1" zoomScale="80" workbookViewId="0">
      <selection activeCell="B6" sqref="B6:F6"/>
    </sheetView>
  </sheetViews>
  <sheetFormatPr baseColWidth="10" defaultRowHeight="14.5"/>
  <cols>
    <col width="3.7265625" bestFit="1" customWidth="1" min="1" max="1"/>
    <col width="11" bestFit="1" customWidth="1" min="3" max="3"/>
    <col width="14.90625" customWidth="1" min="9" max="9"/>
  </cols>
  <sheetData>
    <row r="1">
      <c r="C1" s="28" t="inlineStr">
        <is>
          <t xml:space="preserve">(Ley IVA-Art.11: "La administración Tributaria podra designar como responsables del pago del impuesto, en </t>
        </is>
      </c>
    </row>
    <row r="2">
      <c r="B2" s="28" t="inlineStr">
        <is>
          <t>calidad de agentes de retención a quienes por sus funciones publicas o por razon de sus actividades privadas intervengan</t>
        </is>
      </c>
    </row>
    <row r="3">
      <c r="D3" s="28" t="inlineStr">
        <is>
          <t xml:space="preserve"> en operaciones gravadas con el impuesto establecido en esta ley"</t>
        </is>
      </c>
    </row>
    <row r="4" ht="15" customHeight="1" thickBot="1"/>
    <row r="5" ht="15" customHeight="1" thickBot="1">
      <c r="D5" s="52" t="inlineStr">
        <is>
          <t>COMPROBANTE DE RETENCION DE I.V.A</t>
        </is>
      </c>
      <c r="M5" s="57" t="inlineStr">
        <is>
          <t>Fecha</t>
        </is>
      </c>
      <c r="N5" s="58" t="n"/>
      <c r="O5" s="59" t="n"/>
    </row>
    <row r="6" ht="15" customHeight="1" thickBot="1">
      <c r="B6" s="60" t="inlineStr">
        <is>
          <t>N. DE COMPROBANTE 202606000001__</t>
        </is>
      </c>
      <c r="C6" s="58" t="n"/>
      <c r="D6" s="58" t="n"/>
      <c r="E6" s="58" t="n"/>
      <c r="F6" s="59" t="n"/>
      <c r="K6" t="inlineStr">
        <is>
          <t>Hello World</t>
        </is>
      </c>
      <c r="M6" s="61" t="inlineStr">
        <is>
          <t>02/07/2026</t>
        </is>
      </c>
      <c r="N6" s="26" t="n"/>
      <c r="O6" s="27" t="n"/>
    </row>
    <row r="7">
      <c r="K7" t="inlineStr">
        <is>
          <t>Nuevo Valor</t>
        </is>
      </c>
    </row>
    <row r="8" ht="15" customHeight="1" thickBot="1">
      <c r="K8" t="inlineStr">
        <is>
          <t>Otro Valor</t>
        </is>
      </c>
    </row>
    <row r="9" ht="15" customHeight="1" thickBot="1">
      <c r="A9" s="62" t="inlineStr">
        <is>
          <t>Nombre o Razón Social del Agente de Retención</t>
        </is>
      </c>
      <c r="B9" s="58" t="n"/>
      <c r="C9" s="58" t="n"/>
      <c r="D9" s="58" t="n"/>
      <c r="E9" s="59" t="n"/>
      <c r="G9" s="62" t="inlineStr">
        <is>
          <t>Rif del Agente de Retención</t>
        </is>
      </c>
      <c r="H9" s="58" t="n"/>
      <c r="I9" s="59" t="n"/>
      <c r="M9" s="57" t="inlineStr">
        <is>
          <t>Periodo Fiscal:</t>
        </is>
      </c>
      <c r="N9" s="58" t="n"/>
      <c r="O9" s="59" t="n"/>
    </row>
    <row r="10">
      <c r="A10" s="51" t="inlineStr">
        <is>
          <t>DROGUERIA Y SUMINISTROS OSTEOBONE CA</t>
        </is>
      </c>
      <c r="B10" s="26" t="n"/>
      <c r="C10" s="26" t="n"/>
      <c r="D10" s="26" t="n"/>
      <c r="E10" s="27" t="n"/>
      <c r="G10" s="51" t="inlineStr">
        <is>
          <t>J-50028100-5</t>
        </is>
      </c>
      <c r="H10" s="26" t="n"/>
      <c r="I10" s="27" t="n"/>
      <c r="M10" s="51" t="inlineStr">
        <is>
          <t>AÑO: 2026</t>
        </is>
      </c>
      <c r="N10" s="42" t="inlineStr">
        <is>
          <t>MES</t>
        </is>
      </c>
      <c r="O10" s="27" t="n"/>
    </row>
    <row r="12" ht="15" customHeight="1" thickBot="1"/>
    <row r="13" ht="15" customHeight="1" thickBot="1">
      <c r="A13" s="63" t="inlineStr">
        <is>
          <t>Dirección</t>
        </is>
      </c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9" t="n"/>
    </row>
    <row r="14">
      <c r="A14" s="51" t="inlineStr">
        <is>
          <t>CALLE CEDEÑO A 100 METROS DEL HOSPITAL LUIS RAZETTI BARINAS ESTADO BARINAS</t>
        </is>
      </c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7" t="n"/>
      <c r="U14" s="1" t="n"/>
      <c r="Y14" s="2" t="n"/>
    </row>
    <row r="15" ht="15" customHeight="1" thickBot="1">
      <c r="A15" s="14" t="n"/>
    </row>
    <row r="16" ht="15" customHeight="1" thickBot="1">
      <c r="A16" s="62" t="inlineStr">
        <is>
          <t>Nombre o Razón Social del Sujeto a Retención</t>
        </is>
      </c>
      <c r="B16" s="58" t="n"/>
      <c r="C16" s="58" t="n"/>
      <c r="D16" s="58" t="n"/>
      <c r="E16" s="58" t="n"/>
      <c r="F16" s="59" t="n"/>
      <c r="K16" s="62" t="inlineStr">
        <is>
          <t>Reguistro de Información Fiscaldel Sujeto a Reteción</t>
        </is>
      </c>
      <c r="L16" s="58" t="n"/>
      <c r="M16" s="58" t="n"/>
      <c r="N16" s="58" t="n"/>
      <c r="O16" s="59" t="n"/>
    </row>
    <row r="17">
      <c r="A17" s="51" t="n"/>
      <c r="B17" s="26" t="n"/>
      <c r="C17" s="26" t="n"/>
      <c r="D17" s="26" t="n"/>
      <c r="E17" s="26" t="n"/>
      <c r="F17" s="27" t="n"/>
      <c r="K17" s="51" t="inlineStr">
        <is>
          <t>J-</t>
        </is>
      </c>
      <c r="L17" s="26" t="n"/>
      <c r="M17" s="26" t="n"/>
      <c r="N17" s="26" t="n"/>
      <c r="O17" s="27" t="n"/>
    </row>
    <row r="18" ht="15" customHeight="1" thickBot="1">
      <c r="L18" s="3" t="n"/>
      <c r="M18" s="2" t="n"/>
    </row>
    <row r="19">
      <c r="A19" s="55" t="inlineStr">
        <is>
          <t>No.</t>
        </is>
      </c>
      <c r="B19" s="20" t="inlineStr">
        <is>
          <t>Fecha del Documento</t>
        </is>
      </c>
      <c r="C19" s="20" t="inlineStr">
        <is>
          <t>Número de Factura</t>
        </is>
      </c>
      <c r="D19" s="20" t="inlineStr">
        <is>
          <t>Número de Control</t>
        </is>
      </c>
      <c r="E19" s="20" t="inlineStr">
        <is>
          <t>Numero N/D</t>
        </is>
      </c>
      <c r="F19" s="20" t="inlineStr">
        <is>
          <t>Numero N/D</t>
        </is>
      </c>
      <c r="G19" s="45" t="inlineStr">
        <is>
          <t>Tipo</t>
        </is>
      </c>
      <c r="H19" s="20" t="inlineStr">
        <is>
          <t>Documento Afectado</t>
        </is>
      </c>
      <c r="I19" s="20" t="inlineStr">
        <is>
          <t>Total Compra con I.V.A</t>
        </is>
      </c>
      <c r="J19" s="20" t="inlineStr">
        <is>
          <t>Compra sin Credito</t>
        </is>
      </c>
      <c r="K19" s="20" t="inlineStr">
        <is>
          <t>Base Imponible</t>
        </is>
      </c>
      <c r="L19" s="43" t="inlineStr">
        <is>
          <t>% Alicuota</t>
        </is>
      </c>
      <c r="M19" s="45" t="inlineStr">
        <is>
          <t xml:space="preserve">Monto IVA </t>
        </is>
      </c>
      <c r="N19" s="47" t="inlineStr">
        <is>
          <t>IVA Retenido</t>
        </is>
      </c>
    </row>
    <row r="20">
      <c r="A20" s="64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65" t="n"/>
    </row>
    <row r="21">
      <c r="A21" s="9" t="n">
        <v>1</v>
      </c>
      <c r="B21" s="7" t="n"/>
      <c r="C21" s="11" t="n"/>
      <c r="D21" s="11" t="n"/>
      <c r="E21" s="5" t="n"/>
      <c r="F21" s="5" t="n"/>
      <c r="G21" s="5" t="n"/>
      <c r="H21" s="5" t="n"/>
      <c r="I21" s="15">
        <f>K21+M21</f>
        <v/>
      </c>
      <c r="J21" s="5" t="n"/>
      <c r="K21" s="66" t="inlineStr">
        <is>
          <t>125693</t>
        </is>
      </c>
      <c r="L21" s="8" t="n">
        <v>0.16</v>
      </c>
      <c r="M21" s="66">
        <f>K21*$L$21</f>
        <v/>
      </c>
      <c r="N21" s="66">
        <f>M21*0.75</f>
        <v/>
      </c>
    </row>
    <row r="22">
      <c r="A22" s="9" t="n"/>
      <c r="B22" s="5" t="n"/>
      <c r="C22" s="5" t="n"/>
      <c r="D22" s="5" t="inlineStr">
        <is>
          <t>tocino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9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9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9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0" t="n"/>
      <c r="L25" s="10" t="n"/>
      <c r="M25" s="10" t="n"/>
      <c r="N25" s="10" t="n"/>
    </row>
    <row r="26">
      <c r="I26" s="67">
        <f>SUM(I21:I25)</f>
        <v/>
      </c>
      <c r="J26" s="13" t="n"/>
      <c r="K26" s="67">
        <f>SUM(K21:K25)</f>
        <v/>
      </c>
      <c r="L26" s="12" t="n"/>
      <c r="M26" s="68">
        <f>SUM(M21:M25)</f>
        <v/>
      </c>
      <c r="N26" s="67">
        <f>SUM(N21:N25)</f>
        <v/>
      </c>
    </row>
    <row r="27" ht="15" customHeight="1" thickBot="1">
      <c r="K27" s="49" t="inlineStr">
        <is>
          <t>IVA Retenido</t>
        </is>
      </c>
      <c r="L27" s="69" t="n"/>
      <c r="M27" s="69" t="n"/>
      <c r="N27" s="70">
        <f>N26</f>
        <v/>
      </c>
    </row>
    <row r="33">
      <c r="C33" s="52" t="inlineStr">
        <is>
          <t>________________________________</t>
        </is>
      </c>
      <c r="J33" s="52" t="inlineStr">
        <is>
          <t>________________________________</t>
        </is>
      </c>
    </row>
    <row r="34">
      <c r="C34" s="28" t="inlineStr">
        <is>
          <t>Agente de Retención</t>
        </is>
      </c>
      <c r="J34" s="28" t="inlineStr">
        <is>
          <t>Sujeto Retenido</t>
        </is>
      </c>
    </row>
  </sheetData>
  <mergeCells count="37">
    <mergeCell ref="A16:F16"/>
    <mergeCell ref="C1:K1"/>
    <mergeCell ref="K16:O16"/>
    <mergeCell ref="G10:I10"/>
    <mergeCell ref="D3:J3"/>
    <mergeCell ref="E19:E20"/>
    <mergeCell ref="M6:O6"/>
    <mergeCell ref="G19:G20"/>
    <mergeCell ref="J19:J20"/>
    <mergeCell ref="K27:M27"/>
    <mergeCell ref="A14:O14"/>
    <mergeCell ref="B2:L2"/>
    <mergeCell ref="A17:F17"/>
    <mergeCell ref="B19:B20"/>
    <mergeCell ref="H19:H20"/>
    <mergeCell ref="N19:N20"/>
    <mergeCell ref="J33:L33"/>
    <mergeCell ref="A13:O13"/>
    <mergeCell ref="N10:O10"/>
    <mergeCell ref="G9:I9"/>
    <mergeCell ref="I19:I20"/>
    <mergeCell ref="C34:E34"/>
    <mergeCell ref="A19:A20"/>
    <mergeCell ref="K19:K20"/>
    <mergeCell ref="C19:C20"/>
    <mergeCell ref="D19:D20"/>
    <mergeCell ref="C33:E33"/>
    <mergeCell ref="K17:O17"/>
    <mergeCell ref="F19:F20"/>
    <mergeCell ref="B6:F6"/>
    <mergeCell ref="A10:E10"/>
    <mergeCell ref="M9:O9"/>
    <mergeCell ref="M5:O5"/>
    <mergeCell ref="M19:M20"/>
    <mergeCell ref="J34:L34"/>
    <mergeCell ref="A9:E9"/>
    <mergeCell ref="L19:L20"/>
  </mergeCells>
  <pageMargins left="0.7" right="0.7" top="0.75" bottom="0.75" header="0.3" footer="0.3"/>
  <pageSetup orientation="landscape"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 Farrauto</dc:creator>
  <dcterms:created xsi:type="dcterms:W3CDTF">2024-09-13T23:39:37Z</dcterms:created>
  <dcterms:modified xsi:type="dcterms:W3CDTF">2026-07-02T18:10:14Z</dcterms:modified>
  <cp:lastModifiedBy>Luis Hernández</cp:lastModifiedBy>
  <cp:lastPrinted>2024-09-14T03:56:44Z</cp:lastPrinted>
</cp:coreProperties>
</file>